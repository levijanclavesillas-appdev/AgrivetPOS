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Categories" state="visible" r:id="rId5"/>
    <sheet sheetId="3" name="Units" state="visible" r:id="rId6"/>
    <sheet sheetId="4" name="Brands" state="visible" r:id="rId7"/>
    <sheet sheetId="5" name="Suppliers" state="visible" r:id="rId8"/>
    <sheet sheetId="6" name="Products" state="visible" r:id="rId9"/>
    <sheet sheetId="7" name="Packs" state="visible" r:id="rId10"/>
    <sheet sheetId="8" name="Opening stock" state="visible" r:id="rId11"/>
    <sheet sheetId="9" name="Credit balances" state="visible" r:id="rId12"/>
  </sheets>
  <calcPr calcId="171027"/>
</workbook>
</file>

<file path=xl/sharedStrings.xml><?xml version="1.0" encoding="utf-8"?>
<sst xmlns="http://schemas.openxmlformats.org/spreadsheetml/2006/main" count="207" uniqueCount="152">
  <si>
    <t>Opening data for Chachi Pharmacy POS</t>
  </si>
  <si>
    <t>Fill in what the store has today, tab by tab. Leave a tab empty if it has none of that.</t>
  </si>
  <si>
    <t>Row 1 of every tab is the column name — do not change it. Row 2 says whether the column is</t>
  </si>
  <si>
    <t>required and shows an example. Type your own data from row 3 down.</t>
  </si>
  <si>
    <t>1. Categories, Units, Brands, Suppliers — the lists everything else points at</t>
  </si>
  <si>
    <t>Categories: how the shelves are grouped — Medicines, Vitamins, Personal Care.</t>
  </si>
  <si>
    <t>Units: what things are counted and sold in — TAB, CAP, BOX, BOT, ML. Write yes under fractions</t>
  </si>
  <si>
    <t>only for units that can be sold in part, like millilitres. Tablets and boxes cannot.</t>
  </si>
  <si>
    <t>Brands: optional. Suppliers: who you buy from; the code is a short name the stock tab can use.</t>
  </si>
  <si>
    <t>Anything the store already has is left as it is, so sending this workbook twice is safe.</t>
  </si>
  <si>
    <t>2. Products — everything the shop sells</t>
  </si>
  <si>
    <t>One row per product. A product with no stock still goes here. Its category, base_unit and brand</t>
  </si>
  <si>
    <t>must be on the tabs above, or already in the system, spelled the same way.</t>
  </si>
  <si>
    <t>generic_name: the generic on the box — Paracetamol for Biogesic. Leave blank if it has none.</t>
  </si>
  <si>
    <t>batch_tracked: write yes for goods sold by expiry date — medicines, vitamins. Leave blank for</t>
  </si>
  <si>
    <t>goods with no expiry, like cotton balls. This cannot be changed once the stock is loaded.</t>
  </si>
  <si>
    <t>senior_pwd: write yes for goods the senior citizen / PWD 20% discount covers — medicines and</t>
  </si>
  <si>
    <t>vitamins for the buyer’s own use. Leave blank for the rest.</t>
  </si>
  <si>
    <t>3. Packs — selling one product in more than one size</t>
  </si>
  <si>
    <t>One row per pack: PARA-500, BOX, 100 means one box holds 100 tablets. The product is still</t>
  </si>
  <si>
    <t>counted in its base unit; the pack is a way of selling several at once.</t>
  </si>
  <si>
    <t>4. Opening stock — what is on the shelf at cutover</t>
  </si>
  <si>
    <t>One row per product that has stock. A product the store has none of is simply left out.</t>
  </si>
  <si>
    <t>unit_cost is required and cannot be filled in later: every sale keeps the cost that applied when</t>
  </si>
  <si>
    <t>it was made, so a wrong opening cost is wrong in every profit figure the store ever reports.</t>
  </si>
  <si>
    <t>For a batch_tracked product, batch_no, expiry_date and supplier are required — that is what a</t>
  </si>
  <si>
    <t>recall notice is matched on. Write the date as 2027-03-31, year first.</t>
  </si>
  <si>
    <t>An expiry date already in the past will load, with a warning. It cannot be sold, and it is real.</t>
  </si>
  <si>
    <t>5. Credit balances — what customers owed when the notebook was closed</t>
  </si>
  <si>
    <t>One row per customer with a balance. A customer who owes nothing does not need a row.</t>
  </si>
  <si>
    <t>What happens next</t>
  </si>
  <si>
    <t>1. Save the workbook as it is — Excel Workbook (.xlsx). No need to save each tab as CSV.</t>
  </si>
  <si>
    <t>2. In the application, choose it and press Check. Every problem is listed with its tab and row</t>
  </si>
  <si>
    <t xml:space="preserve">   number, and nothing is written. Check as many times as it takes.</t>
  </si>
  <si>
    <t>3. When the check is clean, press Load. A backup is taken first, and the whole workbook loads as</t>
  </si>
  <si>
    <t xml:space="preserve">   one step — it either all goes in or none of it does.</t>
  </si>
  <si>
    <t>Two things to know before typing</t>
  </si>
  <si>
    <t>Do not reformat the columns. They are set to Text on purpose: it is what keeps 2027-03-31 from</t>
  </si>
  <si>
    <t>becoming 31/03/2027, and a barcode from losing a leading zero.</t>
  </si>
  <si>
    <t>Do not rename the tabs or the columns. The system reads them by name.</t>
  </si>
  <si>
    <t>name</t>
  </si>
  <si>
    <t>max_discount_percent</t>
  </si>
  <si>
    <t>required · e.g. Medicines</t>
  </si>
  <si>
    <t>optional</t>
  </si>
  <si>
    <t>Medicines</t>
  </si>
  <si>
    <t>Vitamins</t>
  </si>
  <si>
    <t>Personal Care</t>
  </si>
  <si>
    <t>code</t>
  </si>
  <si>
    <t>fractions</t>
  </si>
  <si>
    <t>required · e.g. TAB</t>
  </si>
  <si>
    <t>required · e.g. Tablet</t>
  </si>
  <si>
    <t>TAB</t>
  </si>
  <si>
    <t>Tablet</t>
  </si>
  <si>
    <t>CAP</t>
  </si>
  <si>
    <t>Capsule</t>
  </si>
  <si>
    <t>BOX</t>
  </si>
  <si>
    <t>Box</t>
  </si>
  <si>
    <t>PC</t>
  </si>
  <si>
    <t>Piece</t>
  </si>
  <si>
    <t>BOT</t>
  </si>
  <si>
    <t>Bottle</t>
  </si>
  <si>
    <t>ML</t>
  </si>
  <si>
    <t>Millilitre</t>
  </si>
  <si>
    <t>yes</t>
  </si>
  <si>
    <t>required · e.g. Sample Pharma</t>
  </si>
  <si>
    <t>Sample Pharma</t>
  </si>
  <si>
    <t>Optional Health</t>
  </si>
  <si>
    <t>contact_person</t>
  </si>
  <si>
    <t>contact_no</t>
  </si>
  <si>
    <t>terms_days</t>
  </si>
  <si>
    <t>address</t>
  </si>
  <si>
    <t>required · e.g. Mindanao Pharma Supply</t>
  </si>
  <si>
    <t>optional · e.g. MPS</t>
  </si>
  <si>
    <t>optional · e.g. Ana Cruz</t>
  </si>
  <si>
    <t>optional · e.g. 09171234567</t>
  </si>
  <si>
    <t>optional · e.g. 30</t>
  </si>
  <si>
    <t>optional · e.g. Koronadal City</t>
  </si>
  <si>
    <t>Mindanao Pharma Supply</t>
  </si>
  <si>
    <t>MPS</t>
  </si>
  <si>
    <t>Ana Cruz</t>
  </si>
  <si>
    <t>09171234567</t>
  </si>
  <si>
    <t>Koronadal City</t>
  </si>
  <si>
    <t>sku</t>
  </si>
  <si>
    <t>category</t>
  </si>
  <si>
    <t>base_unit</t>
  </si>
  <si>
    <t>retail_price</t>
  </si>
  <si>
    <t>generic_name</t>
  </si>
  <si>
    <t>brand</t>
  </si>
  <si>
    <t>wholesale_price</t>
  </si>
  <si>
    <t>dealer_price</t>
  </si>
  <si>
    <t>tax_class</t>
  </si>
  <si>
    <t>min_stock</t>
  </si>
  <si>
    <t>barcode</t>
  </si>
  <si>
    <t>batch_tracked</t>
  </si>
  <si>
    <t>senior_pwd</t>
  </si>
  <si>
    <t>required · e.g. PARA-500</t>
  </si>
  <si>
    <t>required · e.g. Paracetamol 500mg tablet</t>
  </si>
  <si>
    <t>required · e.g. 4.50</t>
  </si>
  <si>
    <t>optional · e.g. Paracetamol</t>
  </si>
  <si>
    <t>optional · e.g. Sample Pharma</t>
  </si>
  <si>
    <t>optional · e.g. VATABLE</t>
  </si>
  <si>
    <t>optional · e.g. 200</t>
  </si>
  <si>
    <t>optional · e.g. 4800012345678</t>
  </si>
  <si>
    <t>optional · e.g. yes</t>
  </si>
  <si>
    <t>PARA-500</t>
  </si>
  <si>
    <t>Paracetamol 500mg tablet</t>
  </si>
  <si>
    <t>Paracetamol</t>
  </si>
  <si>
    <t>VATABLE</t>
  </si>
  <si>
    <t>ASC-500</t>
  </si>
  <si>
    <t>Ascorbic Acid 500mg capsule</t>
  </si>
  <si>
    <t>Ascorbic acid</t>
  </si>
  <si>
    <t>COTTON-50</t>
  </si>
  <si>
    <t>Cotton balls 50s</t>
  </si>
  <si>
    <t>35.00</t>
  </si>
  <si>
    <t>0480001234567</t>
  </si>
  <si>
    <t>LAG-60</t>
  </si>
  <si>
    <t>Lagundi syrup 60 mL</t>
  </si>
  <si>
    <t>Vitex negundo</t>
  </si>
  <si>
    <t>unit</t>
  </si>
  <si>
    <t>contains</t>
  </si>
  <si>
    <t>default_sell</t>
  </si>
  <si>
    <t>required · e.g. BOX</t>
  </si>
  <si>
    <t>required · e.g. 100</t>
  </si>
  <si>
    <t>quantity</t>
  </si>
  <si>
    <t>unit_cost</t>
  </si>
  <si>
    <t>note</t>
  </si>
  <si>
    <t>batch_no</t>
  </si>
  <si>
    <t>expiry_date</t>
  </si>
  <si>
    <t>supplier</t>
  </si>
  <si>
    <t>required · e.g. 1000</t>
  </si>
  <si>
    <t>required · e.g. 2.80</t>
  </si>
  <si>
    <t>optional · e.g. Counted 1 Sep</t>
  </si>
  <si>
    <t>required if batch-tracked · e.g. P24091</t>
  </si>
  <si>
    <t>required if batch-tracked · e.g. 2027-08-31</t>
  </si>
  <si>
    <t>required if batch-tracked · e.g. Mindanao Pharma Supply</t>
  </si>
  <si>
    <t>Counted 1 Sep</t>
  </si>
  <si>
    <t>P24091</t>
  </si>
  <si>
    <t>AC2291</t>
  </si>
  <si>
    <t>2027-03-31</t>
  </si>
  <si>
    <t>L77</t>
  </si>
  <si>
    <t>customer</t>
  </si>
  <si>
    <t>balance</t>
  </si>
  <si>
    <t>credit_limit</t>
  </si>
  <si>
    <t>required · e.g. Barangay Health Center</t>
  </si>
  <si>
    <t>required · e.g. 12500.00</t>
  </si>
  <si>
    <t>optional · e.g. BHC</t>
  </si>
  <si>
    <t>optional · e.g. 50000.00</t>
  </si>
  <si>
    <t>optional · e.g. From the blue notebook</t>
  </si>
  <si>
    <t>Barangay Health Center</t>
  </si>
  <si>
    <t>BHC</t>
  </si>
  <si>
    <t>From the blue notebook</t>
  </si>
  <si>
    <t>Aling Nena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</si>
</sst>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1D4ED8"/>
      <sz val="13"/>
      <name val="Calibri"/>
    </font>
    <font>
      <color rgb="FF6B6B6B"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/>
    <xf numFmtId="49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FormatPr customHeight="1"/>
  <cols>
    <col min="1" max="1" width="110" style="1" customWidth="1"/>
  </cols>
  <sheetData>
    <row r="1" spans="1:1" x14ac:dyDescent="0.25">
      <c r="A1" s="2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6" spans="1:1" x14ac:dyDescent="0.25">
      <c r="A6" s="2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 t="s">
        <v>9</v>
      </c>
    </row>
    <row r="13" spans="1:1" x14ac:dyDescent="0.25">
      <c r="A13" s="2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 t="s">
        <v>14</v>
      </c>
    </row>
    <row r="18" spans="1:1" x14ac:dyDescent="0.25">
      <c r="A18" s="3" t="s">
        <v>15</v>
      </c>
    </row>
    <row r="19" spans="1:1" x14ac:dyDescent="0.25">
      <c r="A19" s="3" t="s">
        <v>16</v>
      </c>
    </row>
    <row r="20" spans="1:1" x14ac:dyDescent="0.25">
      <c r="A20" s="3" t="s">
        <v>17</v>
      </c>
    </row>
    <row r="22" spans="1:1" x14ac:dyDescent="0.25">
      <c r="A22" s="2" t="s">
        <v>18</v>
      </c>
    </row>
    <row r="23" spans="1:1" x14ac:dyDescent="0.25">
      <c r="A23" s="3" t="s">
        <v>19</v>
      </c>
    </row>
    <row r="24" spans="1:1" x14ac:dyDescent="0.25">
      <c r="A24" s="3" t="s">
        <v>20</v>
      </c>
    </row>
    <row r="26" spans="1:1" x14ac:dyDescent="0.25">
      <c r="A26" s="2" t="s">
        <v>21</v>
      </c>
    </row>
    <row r="27" spans="1:1" x14ac:dyDescent="0.25">
      <c r="A27" s="3" t="s">
        <v>22</v>
      </c>
    </row>
    <row r="28" spans="1:1" x14ac:dyDescent="0.25">
      <c r="A28" s="3" t="s">
        <v>23</v>
      </c>
    </row>
    <row r="29" spans="1:1" x14ac:dyDescent="0.25">
      <c r="A29" s="3" t="s">
        <v>24</v>
      </c>
    </row>
    <row r="30" spans="1:1" x14ac:dyDescent="0.25">
      <c r="A30" s="3" t="s">
        <v>25</v>
      </c>
    </row>
    <row r="31" spans="1:1" x14ac:dyDescent="0.25">
      <c r="A31" s="3" t="s">
        <v>26</v>
      </c>
    </row>
    <row r="32" spans="1:1" x14ac:dyDescent="0.25">
      <c r="A32" s="3" t="s">
        <v>27</v>
      </c>
    </row>
    <row r="34" spans="1:1" x14ac:dyDescent="0.25">
      <c r="A34" s="2" t="s">
        <v>28</v>
      </c>
    </row>
    <row r="35" spans="1:1" x14ac:dyDescent="0.25">
      <c r="A35" s="3" t="s">
        <v>29</v>
      </c>
    </row>
    <row r="37" spans="1:1" x14ac:dyDescent="0.25">
      <c r="A37" s="2" t="s">
        <v>30</v>
      </c>
    </row>
    <row r="38" spans="1:1" x14ac:dyDescent="0.25">
      <c r="A38" s="3" t="s">
        <v>31</v>
      </c>
    </row>
    <row r="39" spans="1:1" x14ac:dyDescent="0.25">
      <c r="A39" s="3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2" spans="1:1" x14ac:dyDescent="0.25">
      <c r="A42" s="3" t="s">
        <v>35</v>
      </c>
    </row>
    <row r="44" spans="1:1" x14ac:dyDescent="0.25">
      <c r="A44" s="2" t="s">
        <v>36</v>
      </c>
    </row>
    <row r="45" spans="1:1" x14ac:dyDescent="0.25">
      <c r="A45" s="3" t="s">
        <v>37</v>
      </c>
    </row>
    <row r="46" spans="1:1" x14ac:dyDescent="0.25">
      <c r="A46" s="3" t="s">
        <v>38</v>
      </c>
    </row>
    <row r="47" spans="1:1" x14ac:dyDescent="0.25">
      <c r="A47" s="3" t="s">
        <v>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zoomScale="100" zoomScaleNormal="100">
      <pane ySplit="2" topLeftCell="A3" activePane="bottomLeft" state="frozen"/>
      <selection pane="bottomLeft"/>
    </sheetView>
  </sheetViews>
  <sheetFormatPr customHeight="1"/>
  <cols>
    <col min="1" max="1" width="28" style="1" customWidth="1"/>
    <col min="2" max="2" width="23" style="1" customWidth="1"/>
  </cols>
  <sheetData>
    <row r="1" spans="1:2" x14ac:dyDescent="0.25">
      <c r="A1" s="4" t="s">
        <v>40</v>
      </c>
      <c r="B1" s="5" t="s">
        <v>41</v>
      </c>
    </row>
    <row r="2" spans="1:2" x14ac:dyDescent="0.25">
      <c r="A2" s="3" t="s">
        <v>42</v>
      </c>
      <c r="B2" s="3" t="s">
        <v>43</v>
      </c>
    </row>
    <row r="3" spans="1:1" x14ac:dyDescent="0.25">
      <c r="A3" s="1" t="s">
        <v>44</v>
      </c>
    </row>
    <row r="4" spans="1:1" x14ac:dyDescent="0.25">
      <c r="A4" s="1" t="s">
        <v>45</v>
      </c>
    </row>
    <row r="5" spans="1:2" x14ac:dyDescent="0.25">
      <c r="A5" s="1" t="s">
        <v>46</v>
      </c>
      <c r="B5" s="1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 zoomScale="100" zoomScaleNormal="100">
      <pane ySplit="2" topLeftCell="A3" activePane="bottomLeft" state="frozen"/>
      <selection pane="bottomLeft"/>
    </sheetView>
  </sheetViews>
  <sheetFormatPr customHeight="1"/>
  <cols>
    <col min="1" max="1" width="22" style="1" customWidth="1"/>
    <col min="2" max="2" width="25" style="1" customWidth="1"/>
    <col min="3" max="3" width="12" style="1" customWidth="1"/>
  </cols>
  <sheetData>
    <row r="1" spans="1:3" x14ac:dyDescent="0.25">
      <c r="A1" s="4" t="s">
        <v>47</v>
      </c>
      <c r="B1" s="4" t="s">
        <v>40</v>
      </c>
      <c r="C1" s="5" t="s">
        <v>48</v>
      </c>
    </row>
    <row r="2" spans="1:3" x14ac:dyDescent="0.25">
      <c r="A2" s="3" t="s">
        <v>49</v>
      </c>
      <c r="B2" s="3" t="s">
        <v>50</v>
      </c>
      <c r="C2" s="3" t="s">
        <v>43</v>
      </c>
    </row>
    <row r="3" spans="1:2" x14ac:dyDescent="0.25">
      <c r="A3" s="1" t="s">
        <v>51</v>
      </c>
      <c r="B3" s="1" t="s">
        <v>52</v>
      </c>
    </row>
    <row r="4" spans="1:2" x14ac:dyDescent="0.25">
      <c r="A4" s="1" t="s">
        <v>53</v>
      </c>
      <c r="B4" s="1" t="s">
        <v>54</v>
      </c>
    </row>
    <row r="5" spans="1:2" x14ac:dyDescent="0.25">
      <c r="A5" s="1" t="s">
        <v>55</v>
      </c>
      <c r="B5" s="1" t="s">
        <v>56</v>
      </c>
    </row>
    <row r="6" spans="1:2" x14ac:dyDescent="0.25">
      <c r="A6" s="1" t="s">
        <v>57</v>
      </c>
      <c r="B6" s="1" t="s">
        <v>58</v>
      </c>
    </row>
    <row r="7" spans="1:2" x14ac:dyDescent="0.25">
      <c r="A7" s="1" t="s">
        <v>59</v>
      </c>
      <c r="B7" s="1" t="s">
        <v>60</v>
      </c>
    </row>
    <row r="8" spans="1:3" x14ac:dyDescent="0.25">
      <c r="A8" s="1" t="s">
        <v>61</v>
      </c>
      <c r="B8" s="1" t="s">
        <v>62</v>
      </c>
      <c r="C8" s="1" t="s">
        <v>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 zoomScale="100" zoomScaleNormal="100">
      <pane ySplit="2" topLeftCell="A3" activePane="bottomLeft" state="frozen"/>
      <selection pane="bottomLeft"/>
    </sheetView>
  </sheetViews>
  <sheetFormatPr customHeight="1"/>
  <cols>
    <col min="1" max="1" width="32" style="1" customWidth="1"/>
  </cols>
  <sheetData>
    <row r="1" spans="1:1" x14ac:dyDescent="0.25">
      <c r="A1" s="4" t="s">
        <v>40</v>
      </c>
    </row>
    <row r="2" spans="1:1" x14ac:dyDescent="0.25">
      <c r="A2" s="3" t="s">
        <v>64</v>
      </c>
    </row>
    <row r="3" spans="1:1" x14ac:dyDescent="0.25">
      <c r="A3" s="1" t="s">
        <v>65</v>
      </c>
    </row>
    <row r="4" spans="1:1" x14ac:dyDescent="0.25">
      <c r="A4" s="1" t="s">
        <v>66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2" topLeftCell="A3" activePane="bottomLeft" state="frozen"/>
      <selection pane="bottomLeft"/>
    </sheetView>
  </sheetViews>
  <sheetFormatPr customHeight="1"/>
  <cols>
    <col min="1" max="1" width="36" style="1" customWidth="1"/>
    <col min="2" max="2" width="22" style="1" customWidth="1"/>
    <col min="3" max="3" width="27" style="1" customWidth="1"/>
    <col min="4" max="4" width="30" style="1" customWidth="1"/>
    <col min="5" max="5" width="21" style="1" customWidth="1"/>
    <col min="6" max="6" width="33" style="1" customWidth="1"/>
  </cols>
  <sheetData>
    <row r="1" spans="1:6" x14ac:dyDescent="0.25">
      <c r="A1" s="4" t="s">
        <v>40</v>
      </c>
      <c r="B1" s="5" t="s">
        <v>47</v>
      </c>
      <c r="C1" s="5" t="s">
        <v>67</v>
      </c>
      <c r="D1" s="5" t="s">
        <v>68</v>
      </c>
      <c r="E1" s="5" t="s">
        <v>69</v>
      </c>
      <c r="F1" s="5" t="s">
        <v>70</v>
      </c>
    </row>
    <row r="2" spans="1:6" x14ac:dyDescent="0.25">
      <c r="A2" s="3" t="s">
        <v>71</v>
      </c>
      <c r="B2" s="3" t="s">
        <v>72</v>
      </c>
      <c r="C2" s="3" t="s">
        <v>73</v>
      </c>
      <c r="D2" s="3" t="s">
        <v>74</v>
      </c>
      <c r="E2" s="3" t="s">
        <v>75</v>
      </c>
      <c r="F2" s="3" t="s">
        <v>76</v>
      </c>
    </row>
    <row r="3" spans="1:6" x14ac:dyDescent="0.25">
      <c r="A3" s="1" t="s">
        <v>77</v>
      </c>
      <c r="B3" s="1" t="s">
        <v>78</v>
      </c>
      <c r="C3" s="1" t="s">
        <v>79</v>
      </c>
      <c r="D3" s="1" t="s">
        <v>80</v>
      </c>
      <c r="E3" s="1">
        <v>30</v>
      </c>
      <c r="F3" s="1" t="s">
        <v>81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 zoomScale="100" zoomScaleNormal="100">
      <pane ySplit="2" topLeftCell="A3" activePane="bottomLeft" state="frozen"/>
      <selection pane="bottomLeft"/>
    </sheetView>
  </sheetViews>
  <sheetFormatPr customHeight="1"/>
  <cols>
    <col min="1" max="1" width="27" style="1" customWidth="1"/>
    <col min="2" max="2" width="36" style="1" customWidth="1"/>
    <col min="3" max="3" width="28" style="1" customWidth="1"/>
    <col min="4" max="4" width="22" style="1" customWidth="1"/>
    <col min="5" max="5" width="23" style="1" customWidth="1"/>
    <col min="6" max="6" width="30" style="1" customWidth="1"/>
    <col min="7" max="7" width="32" style="1" customWidth="1"/>
    <col min="8" max="8" width="18" style="1" customWidth="1"/>
    <col min="9" max="9" width="15" style="1" customWidth="1"/>
    <col min="10" max="10" width="26" style="1" customWidth="1"/>
    <col min="11" max="11" width="22" style="1" customWidth="1"/>
    <col min="12" max="12" width="32" style="1" customWidth="1"/>
    <col min="13" max="14" width="22" style="1" customWidth="1"/>
  </cols>
  <sheetData>
    <row r="1" spans="1:14" x14ac:dyDescent="0.25">
      <c r="A1" s="4" t="s">
        <v>82</v>
      </c>
      <c r="B1" s="4" t="s">
        <v>40</v>
      </c>
      <c r="C1" s="4" t="s">
        <v>83</v>
      </c>
      <c r="D1" s="4" t="s">
        <v>84</v>
      </c>
      <c r="E1" s="4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  <c r="M1" s="5" t="s">
        <v>93</v>
      </c>
      <c r="N1" s="5" t="s">
        <v>94</v>
      </c>
    </row>
    <row r="2" spans="1:14" x14ac:dyDescent="0.25">
      <c r="A2" s="3" t="s">
        <v>95</v>
      </c>
      <c r="B2" s="3" t="s">
        <v>96</v>
      </c>
      <c r="C2" s="3" t="s">
        <v>42</v>
      </c>
      <c r="D2" s="3" t="s">
        <v>49</v>
      </c>
      <c r="E2" s="3" t="s">
        <v>97</v>
      </c>
      <c r="F2" s="3" t="s">
        <v>98</v>
      </c>
      <c r="G2" s="3" t="s">
        <v>99</v>
      </c>
      <c r="H2" s="3" t="s">
        <v>43</v>
      </c>
      <c r="I2" s="3" t="s">
        <v>43</v>
      </c>
      <c r="J2" s="3" t="s">
        <v>100</v>
      </c>
      <c r="K2" s="3" t="s">
        <v>101</v>
      </c>
      <c r="L2" s="3" t="s">
        <v>102</v>
      </c>
      <c r="M2" s="3" t="s">
        <v>103</v>
      </c>
      <c r="N2" s="3" t="s">
        <v>103</v>
      </c>
    </row>
    <row r="3" spans="1:14" x14ac:dyDescent="0.25">
      <c r="A3" s="1" t="s">
        <v>104</v>
      </c>
      <c r="B3" s="1" t="s">
        <v>105</v>
      </c>
      <c r="C3" s="1" t="s">
        <v>44</v>
      </c>
      <c r="D3" s="1" t="s">
        <v>51</v>
      </c>
      <c r="E3" s="1">
        <v>4.5</v>
      </c>
      <c r="F3" s="1" t="s">
        <v>106</v>
      </c>
      <c r="G3" s="1" t="s">
        <v>65</v>
      </c>
      <c r="J3" s="1" t="s">
        <v>107</v>
      </c>
      <c r="K3" s="1">
        <v>200</v>
      </c>
      <c r="L3" s="1">
        <v>4800012345678</v>
      </c>
      <c r="M3" s="1" t="s">
        <v>63</v>
      </c>
      <c r="N3" s="1" t="s">
        <v>63</v>
      </c>
    </row>
    <row r="4" spans="1:14" x14ac:dyDescent="0.25">
      <c r="A4" s="1" t="s">
        <v>108</v>
      </c>
      <c r="B4" s="1" t="s">
        <v>109</v>
      </c>
      <c r="C4" s="1" t="s">
        <v>45</v>
      </c>
      <c r="D4" s="1" t="s">
        <v>53</v>
      </c>
      <c r="E4" s="1">
        <v>6</v>
      </c>
      <c r="F4" s="1" t="s">
        <v>110</v>
      </c>
      <c r="G4" s="1" t="s">
        <v>66</v>
      </c>
      <c r="J4" s="1" t="s">
        <v>107</v>
      </c>
      <c r="K4" s="1">
        <v>100</v>
      </c>
      <c r="M4" s="1" t="s">
        <v>63</v>
      </c>
      <c r="N4" s="1" t="s">
        <v>63</v>
      </c>
    </row>
    <row r="5" spans="1:12" x14ac:dyDescent="0.25">
      <c r="A5" s="1" t="s">
        <v>111</v>
      </c>
      <c r="B5" s="1" t="s">
        <v>112</v>
      </c>
      <c r="C5" s="1" t="s">
        <v>46</v>
      </c>
      <c r="D5" s="1" t="s">
        <v>57</v>
      </c>
      <c r="E5" s="1" t="s">
        <v>113</v>
      </c>
      <c r="J5" s="1" t="s">
        <v>107</v>
      </c>
      <c r="K5" s="1">
        <v>10</v>
      </c>
      <c r="L5" s="1" t="s">
        <v>114</v>
      </c>
    </row>
    <row r="7" spans="1:14" x14ac:dyDescent="0.25">
      <c r="A7" s="1" t="s">
        <v>115</v>
      </c>
      <c r="B7" s="1" t="s">
        <v>116</v>
      </c>
      <c r="C7" s="1" t="s">
        <v>44</v>
      </c>
      <c r="D7" s="1" t="s">
        <v>59</v>
      </c>
      <c r="E7" s="1">
        <v>4.55</v>
      </c>
      <c r="F7" s="1" t="s">
        <v>117</v>
      </c>
      <c r="G7" s="1" t="s">
        <v>65</v>
      </c>
      <c r="J7" s="1" t="s">
        <v>107</v>
      </c>
      <c r="K7" s="1">
        <v>12</v>
      </c>
      <c r="M7" s="1" t="s">
        <v>63</v>
      </c>
      <c r="N7" s="1" t="s">
        <v>63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 zoomScaleNormal="100">
      <pane ySplit="2" topLeftCell="A3" activePane="bottomLeft" state="frozen"/>
      <selection pane="bottomLeft"/>
    </sheetView>
  </sheetViews>
  <sheetFormatPr customHeight="1"/>
  <cols>
    <col min="1" max="1" width="27" style="1" customWidth="1"/>
    <col min="2" max="3" width="22" style="1" customWidth="1"/>
    <col min="4" max="4" width="15" style="1" customWidth="1"/>
  </cols>
  <sheetData>
    <row r="1" spans="1:4" x14ac:dyDescent="0.25">
      <c r="A1" s="4" t="s">
        <v>82</v>
      </c>
      <c r="B1" s="4" t="s">
        <v>118</v>
      </c>
      <c r="C1" s="4" t="s">
        <v>119</v>
      </c>
      <c r="D1" s="5" t="s">
        <v>120</v>
      </c>
    </row>
    <row r="2" spans="1:4" x14ac:dyDescent="0.25">
      <c r="A2" s="3" t="s">
        <v>95</v>
      </c>
      <c r="B2" s="3" t="s">
        <v>121</v>
      </c>
      <c r="C2" s="3" t="s">
        <v>122</v>
      </c>
      <c r="D2" s="3" t="s">
        <v>43</v>
      </c>
    </row>
    <row r="3" spans="1:4" x14ac:dyDescent="0.25">
      <c r="A3" s="1" t="s">
        <v>104</v>
      </c>
      <c r="B3" s="1" t="s">
        <v>55</v>
      </c>
      <c r="C3" s="1">
        <v>100</v>
      </c>
      <c r="D3" s="1" t="s">
        <v>63</v>
      </c>
    </row>
    <row r="4" spans="1:3" x14ac:dyDescent="0.25">
      <c r="A4" s="1" t="s">
        <v>108</v>
      </c>
      <c r="B4" s="1" t="s">
        <v>55</v>
      </c>
      <c r="C4" s="1">
        <v>100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zoomScale="100" zoomScaleNormal="100">
      <pane ySplit="2" topLeftCell="A3" activePane="bottomLeft" state="frozen"/>
      <selection pane="bottomLeft"/>
    </sheetView>
  </sheetViews>
  <sheetFormatPr customHeight="1"/>
  <cols>
    <col min="1" max="1" width="27" style="1" customWidth="1"/>
    <col min="2" max="3" width="23" style="1" customWidth="1"/>
    <col min="4" max="4" width="32" style="1" customWidth="1"/>
    <col min="5" max="7" width="36" style="1" customWidth="1"/>
  </cols>
  <sheetData>
    <row r="1" spans="1:7" x14ac:dyDescent="0.25">
      <c r="A1" s="4" t="s">
        <v>82</v>
      </c>
      <c r="B1" s="4" t="s">
        <v>123</v>
      </c>
      <c r="C1" s="4" t="s">
        <v>124</v>
      </c>
      <c r="D1" s="5" t="s">
        <v>125</v>
      </c>
      <c r="E1" s="5" t="s">
        <v>126</v>
      </c>
      <c r="F1" s="5" t="s">
        <v>127</v>
      </c>
      <c r="G1" s="5" t="s">
        <v>128</v>
      </c>
    </row>
    <row r="2" spans="1:7" x14ac:dyDescent="0.25">
      <c r="A2" s="3" t="s">
        <v>95</v>
      </c>
      <c r="B2" s="3" t="s">
        <v>129</v>
      </c>
      <c r="C2" s="3" t="s">
        <v>130</v>
      </c>
      <c r="D2" s="3" t="s">
        <v>131</v>
      </c>
      <c r="E2" s="3" t="s">
        <v>132</v>
      </c>
      <c r="F2" s="3" t="s">
        <v>133</v>
      </c>
      <c r="G2" s="3" t="s">
        <v>134</v>
      </c>
    </row>
    <row r="3" spans="1:7" x14ac:dyDescent="0.25">
      <c r="A3" s="1" t="s">
        <v>104</v>
      </c>
      <c r="B3" s="1">
        <v>1000</v>
      </c>
      <c r="C3" s="1">
        <v>2.8</v>
      </c>
      <c r="D3" s="1" t="s">
        <v>135</v>
      </c>
      <c r="E3" s="1" t="s">
        <v>136</v>
      </c>
      <c r="F3" s="1">
        <v>46630</v>
      </c>
      <c r="G3" s="1" t="s">
        <v>78</v>
      </c>
    </row>
    <row r="4" spans="1:7" x14ac:dyDescent="0.25">
      <c r="A4" s="1" t="s">
        <v>108</v>
      </c>
      <c r="B4" s="1">
        <v>1250</v>
      </c>
      <c r="C4" s="1">
        <v>3.6</v>
      </c>
      <c r="E4" s="1" t="s">
        <v>137</v>
      </c>
      <c r="F4" s="1" t="s">
        <v>138</v>
      </c>
      <c r="G4" s="1" t="s">
        <v>77</v>
      </c>
    </row>
    <row r="6" spans="1:3" x14ac:dyDescent="0.25">
      <c r="A6" s="1" t="s">
        <v>111</v>
      </c>
      <c r="B6" s="1">
        <v>24</v>
      </c>
      <c r="C6" s="1">
        <f>11*2</f>
        <v>22</v>
      </c>
    </row>
    <row r="7" spans="1:7" x14ac:dyDescent="0.25">
      <c r="A7" s="1" t="s">
        <v>115</v>
      </c>
      <c r="B7" s="1">
        <v>30</v>
      </c>
      <c r="C7" s="1">
        <v>32.5</v>
      </c>
      <c r="E7" s="1" t="s">
        <v>139</v>
      </c>
      <c r="F7" s="1">
        <v>46767</v>
      </c>
      <c r="G7" s="1" t="s">
        <v>78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>
      <pane ySplit="2" topLeftCell="A3" activePane="bottomLeft" state="frozen"/>
      <selection pane="bottomLeft"/>
    </sheetView>
  </sheetViews>
  <sheetFormatPr customHeight="1"/>
  <cols>
    <col min="1" max="1" width="36" style="1" customWidth="1"/>
    <col min="2" max="2" width="27" style="1" customWidth="1"/>
    <col min="3" max="3" width="22" style="1" customWidth="1"/>
    <col min="4" max="4" width="30" style="1" customWidth="1"/>
    <col min="5" max="5" width="27" style="1" customWidth="1"/>
    <col min="6" max="6" width="21" style="1" customWidth="1"/>
    <col min="7" max="7" width="36" style="1" customWidth="1"/>
  </cols>
  <sheetData>
    <row r="1" spans="1:7" x14ac:dyDescent="0.25">
      <c r="A1" s="4" t="s">
        <v>140</v>
      </c>
      <c r="B1" s="4" t="s">
        <v>141</v>
      </c>
      <c r="C1" s="5" t="s">
        <v>47</v>
      </c>
      <c r="D1" s="5" t="s">
        <v>68</v>
      </c>
      <c r="E1" s="5" t="s">
        <v>142</v>
      </c>
      <c r="F1" s="5" t="s">
        <v>69</v>
      </c>
      <c r="G1" s="5" t="s">
        <v>125</v>
      </c>
    </row>
    <row r="2" spans="1:7" x14ac:dyDescent="0.25">
      <c r="A2" s="3" t="s">
        <v>143</v>
      </c>
      <c r="B2" s="3" t="s">
        <v>144</v>
      </c>
      <c r="C2" s="3" t="s">
        <v>145</v>
      </c>
      <c r="D2" s="3" t="s">
        <v>74</v>
      </c>
      <c r="E2" s="3" t="s">
        <v>146</v>
      </c>
      <c r="F2" s="3" t="s">
        <v>75</v>
      </c>
      <c r="G2" s="3" t="s">
        <v>147</v>
      </c>
    </row>
    <row r="3" spans="1:7" x14ac:dyDescent="0.25">
      <c r="A3" s="1" t="s">
        <v>148</v>
      </c>
      <c r="B3" s="1">
        <v>12500</v>
      </c>
      <c r="C3" s="1" t="s">
        <v>149</v>
      </c>
      <c r="D3" s="1" t="s">
        <v>80</v>
      </c>
      <c r="E3" s="1">
        <v>50000</v>
      </c>
      <c r="F3" s="1">
        <v>30</v>
      </c>
      <c r="G3" s="1" t="s">
        <v>150</v>
      </c>
    </row>
    <row r="4" spans="1:6" x14ac:dyDescent="0.25">
      <c r="A4" s="1" t="s">
        <v>151</v>
      </c>
      <c r="B4" s="1">
        <v>850.5</v>
      </c>
      <c r="E4" s="1">
        <v>5000</v>
      </c>
      <c r="F4" s="1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Categories</vt:lpstr>
      <vt:lpstr>Units</vt:lpstr>
      <vt:lpstr>Brands</vt:lpstr>
      <vt:lpstr>Suppliers</vt:lpstr>
      <vt:lpstr>Products</vt:lpstr>
      <vt:lpstr>Packs</vt:lpstr>
      <vt:lpstr>Opening stock</vt:lpstr>
      <vt:lpstr>Credit balances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2026-09-14T04:36:29Z</dcterms:created>
  <dcterms:modified xsi:type="dcterms:W3CDTF">2026-09-14T04:36:29Z</dcterms:modified>
</cp:coreProperties>
</file>